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s:workbook xmlns:unk4="http://schemas.microsoft.com/office/spreadsheetml/2024/workbookCompatibilityVersion" xmlns:unk3="http://schemas.microsoft.com/office/spreadsheetml/2018/calcfeatures" xmlns:xr2="http://schemas.microsoft.com/office/spreadsheetml/2015/revision2" xmlns:unk1="http://schemas.microsoft.com/office/spreadsheetml/2010/11/main" xmlns:xr10="http://schemas.microsoft.com/office/spreadsheetml/2016/revision10" xmlns:mc="http://schemas.openxmlformats.org/markup-compatibility/2006" xmlns:xr="http://schemas.microsoft.com/office/spreadsheetml/2014/revision" xmlns:s="http://schemas.openxmlformats.org/spreadsheetml/2006/main" xmlns:r="http://schemas.openxmlformats.org/officeDocument/2006/relationships" xmlns:xr6="http://schemas.microsoft.com/office/spreadsheetml/2016/revision6" mc:Ignorable="unk1 xr xr6 xr10 xr2">
  <s:fileVersion appName="xl" lastEdited="7" lowestEdited="7" rupBuild="27932"/>
  <s:workbookPr/>
  <s:bookViews>
    <s:workbookView xr2:uid="{00000000-000D-0000-FFFF-FFFF00000000}" xWindow="-108" yWindow="-108" windowWidth="23256" windowHeight="12456"/>
  </s:bookViews>
  <s:sheets>
    <s:sheet name="среднее" sheetId="1" state="visible" r:id="rId1"/>
    <s:sheet name="Номера" sheetId="2" state="visible" r:id="rId2"/>
  </s:sheets>
  <s:calcPr calcId="191029"/>
  <s:extLs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  <unk3:feature name="microsoft.com:LAMBDA_WF"/>
        <unk3:feature name="microsoft.com:ARRAYTEXT_WF"/>
      </unk3:calcFeatures>
    </s:ext>
    <s:ext uri="{D14903EA-33C4-47F7-8F05-3474C54BE107}">
      <unk4:version setVersion="1"/>
    </s:ext>
  </s:extLst>
</s:workbook>
</file>

<file path=xl/sharedStrings.xml><?xml version="1.0" encoding="utf-8"?>
<s:sst xmlns:s="http://schemas.openxmlformats.org/spreadsheetml/2006/main" count="37" uniqueCount="27">
  <s:si>
    <s:t>траты</s:t>
  </s:si>
  <s:si>
    <s:t>сумма</s:t>
  </s:si>
  <s:si>
    <s:t>дней</s:t>
  </s:si>
  <s:si>
    <s:t>среднее</s:t>
  </s:si>
  <s:si>
    <s:t>доход</s:t>
  </s:si>
  <s:si>
    <s:t>январь</s:t>
  </s:si>
  <s:si>
    <s:t>февраль</s:t>
  </s:si>
  <s:si>
    <s:t>март</s:t>
  </s:si>
  <s:si>
    <s:t>апрель</s:t>
  </s:si>
  <s:si>
    <s:t>май</s:t>
  </s:si>
  <s:si>
    <s:t>июнь</s:t>
  </s:si>
  <s:si>
    <s:t>июль</s:t>
  </s:si>
  <s:si>
    <s:t>август</s:t>
  </s:si>
  <s:si>
    <s:t>сентябрь</s:t>
  </s:si>
  <s:si>
    <s:t>октябрь</s:t>
  </s:si>
  <s:si>
    <s:t>ИТОГО:</s:t>
  </s:si>
  <s:si>
    <s:t>Остаток бюджета</s:t>
  </s:si>
  <s:si>
    <s:t>Макс траты в день</s:t>
  </s:si>
  <s:si>
    <s:t>баланс</s:t>
  </s:si>
  <s:si>
    <s:t>среднемесячное  за год</s:t>
  </s:si>
  <s:si>
    <s:t>итого</s:t>
  </s:si>
  <s:si>
    <s:t>Магазин</s:t>
  </s:si>
  <s:si>
    <s:t>Сбер Маркет</s:t>
  </s:si>
  <s:si>
    <s:t>Мегамаркет</s:t>
  </s:si>
  <s:si>
    <s:t>ЯндексМаркет</s:t>
  </s:si>
  <s:si>
    <s:t>Пятерочка</s:t>
  </s:si>
  <s:si>
    <s:t>Магнит</s:t>
  </s:si>
</s:sst>
</file>

<file path=xl/styles.xml><?xml version="1.0" encoding="utf-8"?>
<s:styleSheet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xmlns:x14="http://schemas.microsoft.com/office/spreadsheetml/2009/9/main" xmlns:xr="http://schemas.microsoft.com/office/spreadsheetml/2014/revision" xmlns:mc="http://schemas.openxmlformats.org/markup-compatibility/2006" mc:Ignorable="x14ac x16r2 xr">
  <s:numFmts count="2">
    <s:numFmt numFmtId="43" formatCode="_-* #,##0.00_-;\-* #,##0.00_-;_-* &quot;-&quot;??_-;_-@_-"/>
    <s:numFmt numFmtId="164" formatCode="_-* #,##0.00\ _₽_-;\-* #,##0.00\ _₽_-;_-* &quot;-&quot;??\ _₽_-;_-@_-"/>
  </s:numFmts>
  <s:fonts x14ac:knownFonts="1" count="4">
    <s:font>
      <s:name val="Tw Cen MT"/>
      <s:color theme="1"/>
      <s:sz val="11"/>
      <s:scheme val="minor"/>
    </s:font>
    <s:font>
      <s:name val="Tw Cen MT"/>
      <s:family val="2"/>
      <s:color theme="10"/>
      <s:sz val="11"/>
      <s:u val="single"/>
      <s:scheme val="minor"/>
    </s:font>
    <s:font>
      <s:name val="Tw Cen MT"/>
      <s:family val="2"/>
      <s:b val="1"/>
      <s:color theme="1"/>
      <s:sz val="11"/>
      <s:scheme val="minor"/>
    </s:font>
    <s:font>
      <s:name val="Tw Cen MT"/>
      <s:family val="2"/>
      <s:color theme="1"/>
      <s:sz val="11"/>
      <s:scheme val="minor"/>
    </s:font>
  </s:fonts>
  <s:fills count="2">
    <s:fill>
      <s:patternFill patternType="none"/>
    </s:fill>
    <s:fill>
      <s:patternFill patternType="gray125"/>
    </s:fill>
  </s:fills>
  <s:borders count="3">
    <s:border>
      <s:left/>
      <s:right/>
      <s:top/>
      <s:bottom/>
      <s:diagonal/>
    </s:border>
    <s:border>
      <s:left/>
      <s:right/>
      <s:top style="thin">
        <s:color auto="1"/>
      </s:top>
      <s:bottom/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</s:borders>
  <s:cellStyleXfs count="3">
    <s:xf numFmtId="0" fontId="0" fillId="0" borderId="0"/>
    <s:xf numFmtId="0" fontId="1" fillId="0" borderId="0" applyNumberFormat="0" applyFill="0" applyBorder="0" applyProtection="0"/>
    <s:xf numFmtId="43" fontId="3" fillId="0" borderId="0" applyFont="0" applyFill="0" applyBorder="0" applyProtection="0"/>
  </s:cellStyleXfs>
  <s:cellXfs count="22">
    <s:xf numFmtId="0" fontId="0" fillId="0" borderId="0" xfId="0"/>
    <s:xf numFmtId="0" fontId="0" fillId="0" borderId="0" xfId="0" applyAlignment="1">
      <s:alignment horizontal="center" mc:Ignorable="vyd"/>
    </s:xf>
    <s:xf numFmtId="43" fontId="0" fillId="0" borderId="0" xfId="2" applyNumberFormat="1" applyFont="1"/>
    <s:xf numFmtId="0" fontId="0" fillId="0" borderId="0" xfId="0"/>
    <s:xf numFmtId="0" fontId="2" fillId="0" borderId="0" xfId="0" applyFont="1"/>
    <s:xf numFmtId="43" fontId="2" fillId="0" borderId="0" xfId="2" applyNumberFormat="1" applyFont="1"/>
    <s:xf numFmtId="43" fontId="2" fillId="0" borderId="0" xfId="0" applyNumberFormat="1" applyFont="1"/>
    <s:xf numFmtId="0" fontId="0" fillId="0" borderId="0" xfId="0"/>
    <s:xf numFmtId="49" fontId="0" fillId="0" borderId="0" xfId="0" applyNumberFormat="1"/>
    <s:xf numFmtId="49" fontId="0" fillId="0" borderId="2" xfId="0" applyNumberFormat="1" applyBorder="1" applyAlignment="1">
      <s:alignment horizontal="center" mc:Ignorable="vyd"/>
    </s:xf>
    <s:xf numFmtId="49" fontId="0" fillId="0" borderId="2" xfId="0" applyNumberFormat="1" applyBorder="1"/>
    <s:xf numFmtId="49" fontId="1" fillId="0" borderId="2" xfId="1" applyNumberFormat="1" applyFont="1" applyBorder="1"/>
    <s:xf numFmtId="2" fontId="0" fillId="0" borderId="0" xfId="2" applyNumberFormat="1" applyFont="1"/>
    <s:xf numFmtId="0" fontId="0" fillId="0" borderId="0" xfId="0" applyNumberFormat="1"/>
    <s:xf numFmtId="164" fontId="0" fillId="0" borderId="0" xfId="0" applyNumberFormat="1"/>
    <s:xf numFmtId="43" fontId="0" fillId="0" borderId="0" xfId="2" applyFont="1"/>
    <s:xf numFmtId="0" fontId="0" fillId="0" borderId="0" xfId="0" applyAlignment="1">
      <s:alignment horizontal="center" mc:Ignorable="vyd"/>
    </s:xf>
    <s:xf numFmtId="2" fontId="0" fillId="0" borderId="0" xfId="0" applyNumberFormat="1" applyAlignment="1">
      <s:alignment horizontal="center" mc:Ignorable="vyd"/>
    </s:xf>
    <s:xf numFmtId="43" fontId="0" fillId="0" borderId="0" xfId="2" applyNumberFormat="1" applyFont="1" applyAlignment="1">
      <s:alignment horizontal="center" mc:Ignorable="vyd"/>
    </s:xf>
    <s:xf numFmtId="2" fontId="0" fillId="0" borderId="0" xfId="2" applyNumberFormat="1" applyFont="1" applyAlignment="1">
      <s:alignment horizontal="center" mc:Ignorable="vyd"/>
    </s:xf>
    <s:xf numFmtId="0" fontId="0" fillId="0" borderId="1" xfId="0" applyBorder="1" applyAlignment="1">
      <s:alignment horizontal="center" vertical="center" mc:Ignorable="vyd"/>
    </s:xf>
    <s:xf numFmtId="0" fontId="0" fillId="0" borderId="0" xfId="0" applyAlignment="1">
      <s:alignment horizontal="center" vertical="center" mc:Ignorable="vyd"/>
    </s:xf>
  </s:cellXfs>
  <s:cellStyles count="3">
    <s:cellStyle name="Гиперссылка" xfId="1" builtinId="8"/>
    <s:cellStyle name="Обычный" xfId="0" builtinId="0"/>
    <s:cellStyle name="Финансовый" xfId="2" builtinId="3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3" Type="http://schemas.openxmlformats.org/officeDocument/2006/relationships/styles" Target="styles.xml"/><Relationship Id="rId9" Type="http://schemas.openxmlformats.org/officeDocument/2006/relationships/customXml" Target="../customXml/item3.xml"/><Relationship Target="theme/theme1.xml" Type="http://schemas.openxmlformats.org/officeDocument/2006/relationships/theme" Id="rId4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/Relationships>
</file>

<file path=xl/charts/chart1.xml><?xml version="1.0" encoding="utf-8"?>
<c:chartSpace xmlns:c="http://schemas.openxmlformats.org/drawingml/2006/chart" xmlns:a="http://schemas.openxmlformats.org/drawingml/2006/main" xmlns:mc="http://schemas.openxmlformats.org/markup-compatibility/2006" xmlns:vyd="http://volga.yandex.com/schemas/document/model" xmlns:c15="http://schemas.microsoft.com/office/drawing/2012/chart" xmlns:unk6="http://schemas.microsoft.com/office/drawing/2014/chart">
  <c:date1904 val="0"/>
  <c:lang val="ru-RU"/>
  <c:roundedCorners val="0"/>
  <c:style val="2"/>
  <c:chart>
    <c:title mc:Ignorable="vyd">
      <c:tx>
        <c:rich>
          <a:bodyPr rot="0" spcFirstLastPara="1" vertOverflow="ellipsis" wrap="square" anchorCtr="1" vert="horz" lIns="0" tIns="0" rIns="0" bIns="0" anchor="ctr"/>
          <a:lstStyle/>
          <a:p>
            <a:pPr>
              <a:defRPr spc="0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Траты</a:t>
            </a:r>
          </a:p>
        </c:rich>
      </c:tx>
      <c:layout>
        <c:manualLayout>
          <c:xMode val="edge"/>
          <c:yMode val="edge"/>
          <c:x val="0.422"/>
          <c:y val="0.019"/>
        </c:manualLayout>
      </c:layout>
      <c:overlay val="0"/>
      <c:spPr>
        <a:prstGeom prst="rect">
          <a:avLst/>
        </a:prstGeom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rstGeom prst="rect">
              <a:avLst/>
            </a:prstGeom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001"/>
                  <c:y val="-0.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0-3FBB-4AC8-A789-405AC951984D}"/>
                </c:ext>
              </c:extLst>
            </c:dLbl>
            <c:dLbl>
              <c:idx val="1"/>
              <c:layout>
                <c:manualLayout>
                  <c:x val="-0.016"/>
                  <c:y val="-0.0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1-3FBB-4AC8-A789-405AC951984D}"/>
                </c:ext>
              </c:extLst>
            </c:dLbl>
            <c:dLbl>
              <c:idx val="2"/>
              <c:layout>
                <c:manualLayout>
                  <c:x val="-0.022"/>
                  <c:y val="-0.0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2-3FBB-4AC8-A789-405AC951984D}"/>
                </c:ext>
              </c:extLst>
            </c:dLbl>
            <c:dLbl>
              <c:idx val="3"/>
              <c:layout>
                <c:manualLayout>
                  <c:x val="-0.024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3-3FBB-4AC8-A789-405AC951984D}"/>
                </c:ext>
              </c:extLst>
            </c:dLbl>
            <c:dLbl>
              <c:idx val="4"/>
              <c:layout>
                <c:manualLayout>
                  <c:x val="-0.024"/>
                  <c:y val="0.0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4-3FBB-4AC8-A789-405AC951984D}"/>
                </c:ext>
              </c:extLst>
            </c:dLbl>
            <c:dLbl>
              <c:idx val="5"/>
              <c:layout>
                <c:manualLayout>
                  <c:x val="-0.009"/>
                  <c:y val="-0.0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5-3FBB-4AC8-A789-405AC951984D}"/>
                </c:ext>
              </c:extLst>
            </c:dLbl>
            <c:dLbl>
              <c:idx val="6"/>
              <c:layout>
                <c:manualLayout>
                  <c:x val="-0.022"/>
                  <c:y val="0.0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6-3FBB-4AC8-A789-405AC951984D}"/>
                </c:ext>
              </c:extLst>
            </c:dLbl>
            <c:dLbl>
              <c:idx val="7"/>
              <c:layout>
                <c:manualLayout>
                  <c:x val="-0.014"/>
                  <c:y val="-0.0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7-3FBB-4AC8-A789-405AC95198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pPr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среднее!$A$2:$A$11</c:f>
              <c:strCache>
                <c:ptCount val="10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</c:strCache>
            </c:strRef>
          </c:cat>
          <c:val>
            <c:numRef>
              <c:f>среднее!$B$2:$B$11</c:f>
              <c:numCache>
                <c:formatCode>_(* #,##0.00_);_(* \(#,##0.00\);_(* "-"??_);_(@_)</c:formatCode>
                <c:ptCount val="10"/>
                <c:pt idx="0">
                  <c:v>288157.12</c:v>
                </c:pt>
                <c:pt idx="1">
                  <c:v>193694.87</c:v>
                </c:pt>
                <c:pt idx="2" formatCode="0.00">
                  <c:v>151076.96</c:v>
                </c:pt>
                <c:pt idx="3" formatCode="0.00">
                  <c:v>159075.91</c:v>
                </c:pt>
                <c:pt idx="4" formatCode="0.00">
                  <c:v>142610.78</c:v>
                </c:pt>
                <c:pt idx="5" formatCode="0.00">
                  <c:v>4429.4799999999996</c:v>
                </c:pt>
              </c:numCache>
            </c:numRef>
          </c:val>
          <c:extLst>
            <c:ext uri="{C3380CC4-5D6E-409C-BE32-E72D297353CC}">
              <unk6:uniqueId val="{00000008-3FBB-4AC8-A789-405AC951984D}"/>
            </c:ext>
          </c:extLst>
        </c:ser>
        <c:ser>
          <c:idx val="1"/>
          <c:order val="1"/>
          <c:tx>
            <c:strRef>
              <c:f>среднее!$A$2:$A$11</c:f>
              <c:strCache>
                <c:ptCount val="10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</c:strCache>
            </c:strRef>
          </c:tx>
          <c:spPr>
            <a:prstGeom prst="rect">
              <a:avLst/>
            </a:prstGeom>
            <a:solidFill>
              <a:srgbClr val="FF0000"/>
            </a:solidFill>
            <a:ln>
              <a:noFill/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0.012"/>
                  <c:y val="0.011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9-3FBB-4AC8-A789-405AC951984D}"/>
                </c:ext>
              </c:extLst>
            </c:dLbl>
            <c:dLbl>
              <c:idx val="2"/>
              <c:layout>
                <c:manualLayout>
                  <c:x val="0.018"/>
                  <c:y val="-0.0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A-3FBB-4AC8-A789-405AC951984D}"/>
                </c:ext>
              </c:extLst>
            </c:dLbl>
            <c:dLbl>
              <c:idx val="4"/>
              <c:layout>
                <c:manualLayout>
                  <c:x val="0.017"/>
                  <c:y val="-0.0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B-3FBB-4AC8-A789-405AC951984D}"/>
                </c:ext>
              </c:extLst>
            </c:dLbl>
            <c:dLbl>
              <c:idx val="5"/>
              <c:layout>
                <c:manualLayout>
                  <c:x val="-0.008"/>
                  <c:y val="-0.0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C-3FBB-4AC8-A789-405AC951984D}"/>
                </c:ext>
              </c:extLst>
            </c:dLbl>
            <c:dLbl>
              <c:idx val="7"/>
              <c:layout>
                <c:manualLayout>
                  <c:x val="-0.002"/>
                  <c:y val="-0.0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D-3FBB-4AC8-A789-405AC951984D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pPr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среднее!$A$2:$A$11</c:f>
              <c:strCache>
                <c:ptCount val="10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</c:strCache>
            </c:strRef>
          </c:cat>
          <c:val>
            <c:numRef>
              <c:f>среднее!$F$2:$F$11</c:f>
              <c:numCache>
                <c:formatCode>_(* #,##0.00_);_(* \(#,##0.00\);_(* "-"??_);_(@_)</c:formatCode>
                <c:ptCount val="10"/>
                <c:pt idx="0">
                  <c:v>44584.52</c:v>
                </c:pt>
                <c:pt idx="1">
                  <c:v>223493.84</c:v>
                </c:pt>
                <c:pt idx="2" formatCode="0.00">
                  <c:v>227360.07</c:v>
                </c:pt>
                <c:pt idx="3" formatCode="0.00">
                  <c:v>384912.26</c:v>
                </c:pt>
                <c:pt idx="4" formatCode="0.00">
                  <c:v>126651.97</c:v>
                </c:pt>
                <c:pt idx="5" formatCode="0.00">
                  <c:v>1</c:v>
                </c:pt>
              </c:numCache>
            </c:numRef>
          </c:val>
          <c:extLst>
            <c:ext uri="{C3380CC4-5D6E-409C-BE32-E72D297353CC}">
              <unk6:uniqueId val="{0000000E-3FBB-4AC8-A789-405AC9519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0674064"/>
        <c:axId val="1420676144"/>
      </c:barChart>
      <c:valAx>
        <c:axId val="142067614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Tw Cen MT"/>
                <a:ea typeface="Arial"/>
                <a:cs typeface="Arial"/>
              </a:defRPr>
            </a:pPr>
            <a:endParaRPr lang="ru-RU"/>
          </a:p>
        </c:txPr>
        <c:crossAx val="1420674064"/>
        <c:crosses val="autoZero"/>
        <c:crossBetween val="between"/>
      </c:valAx>
      <c:catAx>
        <c:axId val="142067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Tw Cen MT"/>
                <a:ea typeface="Arial"/>
                <a:cs typeface="Arial"/>
              </a:defRPr>
            </a:pPr>
            <a:endParaRPr lang="ru-RU"/>
          </a:p>
        </c:txPr>
        <c:crossAx val="1420676144"/>
        <c:crosses val="autoZero"/>
        <c:auto val="1"/>
        <c:lblAlgn val="ctr"/>
        <c:lblOffset val="100"/>
        <c:noMultiLvlLbl val="0"/>
      </c:catAx>
      <c:spPr>
        <a:prstGeom prst="rect">
          <a:avLst/>
        </a:prstGeom>
        <a:noFill/>
        <a:ln>
          <a:solidFill>
            <a:sysClr val="windowText" lastClr="000000">
              <a:lumMod val="25000"/>
              <a:lumOff val="75000"/>
              <a:alpha val="93000"/>
            </a:sysClr>
          </a:solidFill>
        </a:ln>
        <a:effectLst/>
      </c:spPr>
    </c:plotArea>
    <c:plotVisOnly val="1"/>
    <c:dispBlanksAs val="gap"/>
    <c:showDLblsOverMax val="0"/>
  </c:chart>
  <c:spPr>
    <a:xfrm>
      <a:off x="4542063" y="130853"/>
      <a:ext cx="10963727" cy="2239963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lIns="0" tIns="0" rIns="0" bIns="0"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mc="http://schemas.openxmlformats.org/markup-compatibility/2006" xmlns:vyd="http://volga.yandex.com/schemas/document/model" xmlns:c15="http://schemas.microsoft.com/office/drawing/2012/chart" xmlns:unk6="http://schemas.microsoft.com/office/drawing/2014/chart">
  <c:date1904 val="0"/>
  <c:lang val="ru-RU"/>
  <c:roundedCorners val="0"/>
  <c:style val="2"/>
  <c:chart>
    <c:title mc:Ignorable="vyd">
      <c:tx>
        <c:rich>
          <a:bodyPr rot="0" spcFirstLastPara="1" vertOverflow="ellipsis" wrap="square" anchorCtr="1" vert="horz" lIns="0" tIns="0" rIns="0" bIns="0" anchor="ctr"/>
          <a:lstStyle/>
          <a:p>
            <a:pPr>
              <a:defRPr spc="0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rich>
      </c:tx>
      <c:layout>
        <c:manualLayout>
          <c:xMode val="edge"/>
          <c:yMode val="edge"/>
          <c:x val="0.397"/>
          <c:y val="0.051"/>
        </c:manualLayout>
      </c:layout>
      <c:overlay val="0"/>
      <c:spPr>
        <a:prstGeom prst="rect">
          <a:avLst/>
        </a:prstGeom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4"/>
          <c:y val="0.229"/>
          <c:w val="0.935"/>
          <c:h val="0.624"/>
        </c:manualLayout>
      </c:layout>
      <c:lineChart>
        <c:grouping val="standard"/>
        <c:varyColors val="0"/>
        <c:ser>
          <c:idx val="0"/>
          <c:order val="0"/>
          <c:spPr>
            <a:prstGeom prst="rect">
              <a:avLst/>
            </a:prstGeom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47"/>
                  <c:y val="-0.0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0-5153-4C3A-9593-93E77045FAE5}"/>
                </c:ext>
              </c:extLst>
            </c:dLbl>
            <c:dLbl>
              <c:idx val="1"/>
              <c:layout>
                <c:manualLayout>
                  <c:x val="-0.015"/>
                  <c:y val="-0.0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1-5153-4C3A-9593-93E77045FAE5}"/>
                </c:ext>
              </c:extLst>
            </c:dLbl>
            <c:dLbl>
              <c:idx val="2"/>
              <c:layout>
                <c:manualLayout>
                  <c:x val="-0.036"/>
                  <c:y val="-0.1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2-5153-4C3A-9593-93E77045FAE5}"/>
                </c:ext>
              </c:extLst>
            </c:dLbl>
            <c:dLbl>
              <c:idx val="3"/>
              <c:layout>
                <c:manualLayout>
                  <c:x val="-0.024"/>
                  <c:y val="-0.1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3-5153-4C3A-9593-93E77045FAE5}"/>
                </c:ext>
              </c:extLst>
            </c:dLbl>
            <c:dLbl>
              <c:idx val="4"/>
              <c:layout>
                <c:manualLayout>
                  <c:x val="-0.033"/>
                  <c:y val="-0.0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4-5153-4C3A-9593-93E77045FAE5}"/>
                </c:ext>
              </c:extLst>
            </c:dLbl>
            <c:dLbl>
              <c:idx val="5"/>
              <c:layout>
                <c:manualLayout>
                  <c:x val="-0.022"/>
                  <c:y val="-0.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5-5153-4C3A-9593-93E77045FAE5}"/>
                </c:ext>
              </c:extLst>
            </c:dLbl>
            <c:dLbl>
              <c:idx val="6"/>
              <c:layout>
                <c:manualLayout>
                  <c:x val="-0.029"/>
                  <c:y val="-0.1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6-5153-4C3A-9593-93E77045FAE5}"/>
                </c:ext>
              </c:extLst>
            </c:dLbl>
            <c:dLbl>
              <c:idx val="7"/>
              <c:layout>
                <c:manualLayout>
                  <c:x val="-0.053"/>
                  <c:y val="-0.0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7-5153-4C3A-9593-93E77045FAE5}"/>
                </c:ext>
              </c:extLst>
            </c:dLbl>
            <c:dLbl>
              <c:idx val="8"/>
              <c:layout>
                <c:manualLayout>
                  <c:x val="-0.031"/>
                  <c:y val="-0.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uri="{CE6537A1-D6FC-4f65-9D91-7224C49458BB}"/>
                <c:ext uri="{C3380CC4-5D6E-409C-BE32-E72D297353CC}">
                  <unk6:uniqueId val="{00000008-5153-4C3A-9593-93E77045FA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pPr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среднее!$A$2:$A$11</c:f>
              <c:strCache>
                <c:ptCount val="10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</c:strCache>
            </c:strRef>
          </c:cat>
          <c:val>
            <c:numRef>
              <c:f>среднее!$D$2:$D$11</c:f>
              <c:numCache>
                <c:formatCode>_(* #,##0.00_);_(* \(#,##0.00\);_(* "-"??_);_(@_)</c:formatCode>
                <c:ptCount val="10"/>
                <c:pt idx="0">
                  <c:v>9295.390967741936</c:v>
                </c:pt>
                <c:pt idx="1">
                  <c:v>6917.6739285714284</c:v>
                </c:pt>
                <c:pt idx="2">
                  <c:v>4873.4503225806448</c:v>
                </c:pt>
                <c:pt idx="3">
                  <c:v>5302.5303333333331</c:v>
                </c:pt>
                <c:pt idx="4">
                  <c:v>4600.3477419354804</c:v>
                </c:pt>
                <c:pt idx="5">
                  <c:v>2214.7399999999998</c:v>
                </c:pt>
              </c:numCache>
            </c:numRef>
          </c:val>
          <c:smooth val="0"/>
          <c:extLst>
            <c:ext uri="{C3380CC4-5D6E-409C-BE32-E72D297353CC}">
              <unk6:uniqueId val="{00000009-5153-4C3A-9593-93E77045F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0936192"/>
        <c:axId val="1690935360"/>
      </c:lineChart>
      <c:valAx>
        <c:axId val="169093536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Tw Cen MT"/>
                <a:ea typeface="Arial"/>
                <a:cs typeface="Arial"/>
              </a:defRPr>
            </a:pPr>
            <a:endParaRPr lang="ru-RU"/>
          </a:p>
        </c:txPr>
        <c:crossAx val="1690936192"/>
        <c:crosses val="autoZero"/>
        <c:crossBetween val="between"/>
      </c:valAx>
      <c:catAx>
        <c:axId val="169093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Tw Cen MT"/>
                <a:ea typeface="Arial"/>
                <a:cs typeface="Arial"/>
              </a:defRPr>
            </a:pPr>
            <a:endParaRPr lang="ru-RU"/>
          </a:p>
        </c:txPr>
        <c:crossAx val="1690935360"/>
        <c:crosses val="autoZero"/>
        <c:auto val="1"/>
        <c:lblAlgn val="ctr"/>
        <c:lblOffset val="100"/>
        <c:noMultiLvlLbl val="0"/>
      </c:catAx>
      <c:spPr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>
    <a:xfrm>
      <a:off x="4565648" y="2352674"/>
      <a:ext cx="10922000" cy="19875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lIns="0" tIns="0" rIns="0" bIns="0"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?><Relationships xmlns="http://schemas.openxmlformats.org/package/2006/relationships"><Relationship Target="../charts/chart1.xml" Type="http://schemas.openxmlformats.org/officeDocument/2006/relationships/chart" Id="rId1"/><Relationship Target="../charts/chart2.xml" Type="http://schemas.openxmlformats.org/officeDocument/2006/relationships/chart" Id="rId2"/></Relationships>
</file>

<file path=xl/drawings/drawing1.xml><?xml version="1.0" encoding="utf-8"?>
<xdr:wsDr xmlns:c="http://schemas.openxmlformats.org/drawingml/2006/chart" xmlns:unk5="http://schemas.microsoft.com/office/drawing/2014/main" xmlns:a="http://schemas.openxmlformats.org/drawingml/2006/main" xmlns:xdr="http://schemas.openxmlformats.org/drawingml/2006/spreadsheetDrawing" xmlns:r="http://schemas.openxmlformats.org/officeDocument/2006/relationships">
  <xdr:twoCellAnchor>
    <xdr:from>
      <xdr:col>6</xdr:col>
      <xdr:colOff>63246</xdr:colOff>
      <xdr:row>0</xdr:row>
      <xdr:rowOff>146685</xdr:rowOff>
    </xdr:from>
    <xdr:to>
      <xdr:col>24</xdr:col>
      <xdr:colOff>54197</xdr:colOff>
      <xdr:row>13</xdr:row>
      <xdr:rowOff>34004</xdr:rowOff>
    </xdr:to>
    <xdr:graphicFrame macro="">
      <xdr:nvGraphicFramePr>
        <xdr:cNvPr id="2" name="Диаграмма 1">
          <a:extLst>
            <a:ext uri="{FF2B5EF4-FFF2-40B4-BE49-F238E27FC236}">
              <unk5:creationId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4</xdr:col>
      <xdr:colOff>33909</xdr:colOff>
      <xdr:row>13</xdr:row>
      <xdr:rowOff>72390</xdr:rowOff>
    </xdr:from>
    <xdr:to>
      <xdr:col>23</xdr:col>
      <xdr:colOff>199835</xdr:colOff>
      <xdr:row>24</xdr:row>
      <xdr:rowOff>78772</xdr:rowOff>
    </xdr:to>
    <xdr:graphicFrame macro="">
      <xdr:nvGraphicFramePr>
        <xdr:cNvPr id="3" name="Диаграмма 2">
          <a:extLst>
            <a:ext uri="{FF2B5EF4-FFF2-40B4-BE49-F238E27FC236}">
              <unk5:creationId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Интеграл">
  <a:themeElements>
    <a:clrScheme name="Интеграл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Интеграл">
      <a:majorFont>
        <a:latin typeface="Tw Cen MT Condensed"/>
        <a:ea typeface="Arial"/>
        <a:cs typeface="Arial"/>
      </a:majorFont>
      <a:minorFont>
        <a:latin typeface="Tw Cen MT"/>
        <a:ea typeface="Arial"/>
        <a:cs typeface="Arial"/>
      </a:minorFont>
    </a:fontScheme>
    <a:fmtScheme name="Интеграл">
      <a:fillStyleLst>
        <a:solidFill>
          <a:schemeClr val="phClr"/>
        </a:solidFill>
        <a:gradFill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/>
        </a:gradFill>
        <a:gradFill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blipFill>
          <a:blip>
            <a:duotone>
              <a:schemeClr val="phClr">
                <a:tint val="95000"/>
                <a:shade val="74000"/>
                <a:satMod val="229999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s:worksheet xmlns:xr3="http://schemas.microsoft.com/office/spreadsheetml/2016/revision3" xmlns:s="http://schemas.openxmlformats.org/spreadsheetml/2006/main" xmlns:r="http://schemas.openxmlformats.org/officeDocument/2006/relationships" xmlns:x14ac="http://schemas.microsoft.com/office/spreadsheetml/2009/9/ac" xmlns:xr="http://schemas.microsoft.com/office/spreadsheetml/2014/revision" xmlns:mc="http://schemas.openxmlformats.org/markup-compatibility/2006" xmlns:xr2="http://schemas.microsoft.com/office/spreadsheetml/2015/revision2" mc:Ignorable="x14ac xr xr2 xr3" xr:uid="{00000000-0001-0000-0000-000000000000}">
  <s:dimension ref="A1:G35"/>
  <s:sheetViews>
    <s:sheetView tabSelected="0" workbookViewId="0">
      <s:selection activeCell="F12" sqref="F12"/>
    </s:sheetView>
  </s:sheetViews>
  <s:sheetFormatPr x14ac:dyDescent="0.25" defaultColWidth="10" defaultRowHeight="13.8"/>
  <s:cols>
    <s:col min="2" max="2" width="13.199" customWidth="1"/>
    <s:col min="3" max="3" width="10.699" bestFit="1" customWidth="1"/>
    <s:col min="4" max="4" width="12.199" customWidth="1"/>
    <s:col min="6" max="6" width="13.098" customWidth="1"/>
  </s:cols>
  <s:sheetData>
    <s:row x14ac:dyDescent="0.25" r="1" spans="1:6" ht="14.7" customHeight="1">
      <s:c r="A1" s="1" t="s">
        <s:v>0</s:v>
      </s:c>
      <s:c r="B1" s="1" t="s">
        <s:v>1</s:v>
      </s:c>
      <s:c r="C1" s="1" t="s">
        <s:v>2</s:v>
      </s:c>
      <s:c r="D1" s="1" t="s">
        <s:v>3</s:v>
      </s:c>
      <s:c r="F1" s="1" t="s">
        <s:v>4</s:v>
      </s:c>
    </s:row>
    <s:row x14ac:dyDescent="0.25" r="2" spans="1:6" ht="14.7" customHeight="1">
      <s:c r="A2" t="s">
        <s:v>5</s:v>
      </s:c>
      <s:c r="B2" s="15">
        <s:v>288157.12</s:v>
      </s:c>
      <s:c r="C2">
        <s:v>31</s:v>
      </s:c>
      <s:c r="D2" s="2">
        <s:f validation_="true">B2/C2</s:f>
        <s:v>9295.390967741936</s:v>
      </s:c>
      <s:c r="F2" s="15">
        <s:v>44584.52</s:v>
      </s:c>
    </s:row>
    <s:row x14ac:dyDescent="0.25" r="3" spans="1:6" ht="14.7" customHeight="1">
      <s:c r="A3" t="s">
        <s:v>6</s:v>
      </s:c>
      <s:c r="B3" s="15">
        <s:v>193694.87</s:v>
      </s:c>
      <s:c r="C3">
        <s:v>28</s:v>
      </s:c>
      <s:c r="D3" s="2">
        <s:f validation_="true">B3/C3</s:f>
        <s:v>6917.6739285714284</s:v>
      </s:c>
      <s:c r="F3" s="15">
        <s:v>223493.84</s:v>
      </s:c>
    </s:row>
    <s:row x14ac:dyDescent="0.25" r="4" spans="1:6" ht="14.7" customHeight="1">
      <s:c r="A4" t="s">
        <s:v>7</s:v>
      </s:c>
      <s:c r="B4" s="12">
        <s:v>151076.96</s:v>
      </s:c>
      <s:c r="C4" s="7">
        <s:v>31</s:v>
      </s:c>
      <s:c r="D4" s="2">
        <s:f validation_="true">B4/C4</s:f>
        <s:v>4873.4503225806448</s:v>
      </s:c>
      <s:c r="E4" s="7"/>
      <s:c r="F4" s="12">
        <s:v>227360.07</s:v>
      </s:c>
    </s:row>
    <s:row x14ac:dyDescent="0.25" r="5" spans="1:6" ht="14.7" customHeight="1">
      <s:c r="A5" t="s">
        <s:v>8</s:v>
      </s:c>
      <s:c r="B5" s="12">
        <s:v>159075.91</s:v>
      </s:c>
      <s:c r="C5" s="7">
        <s:v>30</s:v>
      </s:c>
      <s:c r="D5" s="2">
        <s:f validation_="true">B5/C5</s:f>
        <s:v>5302.5303333333331</s:v>
      </s:c>
      <s:c r="E5" s="7"/>
      <s:c r="F5" s="12">
        <s:v>384912.26</s:v>
      </s:c>
    </s:row>
    <s:row x14ac:dyDescent="0.25" r="6" spans="1:6" ht="14.7" customHeight="1">
      <s:c r="A6" t="s">
        <s:v>9</s:v>
      </s:c>
      <s:c r="B6" s="12">
        <s:v>142610.78</s:v>
      </s:c>
      <s:c r="C6" s="7">
        <s:v>31</s:v>
      </s:c>
      <s:c r="D6" s="2">
        <s:f validation_="true">B6/C6</s:f>
        <s:v>4600.3477419354804</s:v>
      </s:c>
      <s:c r="E6" s="7"/>
      <s:c r="F6" s="12">
        <s:v>126651.97</s:v>
      </s:c>
    </s:row>
    <s:row x14ac:dyDescent="0.25" r="7" spans="1:6" ht="14.7" customHeight="1">
      <s:c r="A7" t="s">
        <s:v>10</s:v>
      </s:c>
      <s:c r="B7" s="12">
        <s:v>64712.97</s:v>
      </s:c>
      <s:c r="C7">
        <s:v>10</s:v>
      </s:c>
      <s:c r="D7" s="2">
        <s:f validation_="true">B7/C7</s:f>
        <s:v>6471.297</s:v>
      </s:c>
      <s:c r="F7" s="12">
        <s:v>148571.63</s:v>
      </s:c>
    </s:row>
    <s:row x14ac:dyDescent="0.25" r="8" spans="1:6" ht="14.7" customHeight="1">
      <s:c r="A8" t="s">
        <s:v>11</s:v>
      </s:c>
      <s:c r="B8" s="2"/>
      <s:c r="D8" s="2"/>
    </s:row>
    <s:row x14ac:dyDescent="0.25" r="9" spans="1:6" ht="14.7" customHeight="1">
      <s:c r="A9" t="s">
        <s:v>12</s:v>
      </s:c>
      <s:c r="B9" s="2"/>
      <s:c r="D9" s="2"/>
    </s:row>
    <s:row x14ac:dyDescent="0.25" r="10" spans="1:6" ht="14.7" customHeight="1">
      <s:c r="A10" t="s">
        <s:v>13</s:v>
      </s:c>
      <s:c r="B10" s="2"/>
      <s:c r="D10" s="2"/>
    </s:row>
    <s:row x14ac:dyDescent="0.25" r="11" spans="1:6" ht="14.7" customHeight="1">
      <s:c r="A11" t="s">
        <s:v>14</s:v>
      </s:c>
      <s:c r="B11" s="12"/>
      <s:c r="D11" s="2"/>
      <s:c r="F11" s="3"/>
    </s:row>
    <s:row x14ac:dyDescent="0.25" r="12" spans="1:6" ht="14.7" customHeight="1">
      <s:c r="A12" s="3"/>
      <s:c r="B12" s="2"/>
      <s:c r="C12" s="3"/>
      <s:c r="D12" s="2"/>
      <s:c r="F12" s="3"/>
    </s:row>
    <s:row x14ac:dyDescent="0.25" r="13" spans="1:6" ht="14.7" customHeight="1">
      <s:c r="A13" s="3"/>
      <s:c r="B13" s="2"/>
      <s:c r="C13" s="3"/>
      <s:c r="D13" s="2"/>
      <s:c r="F13" s="3"/>
    </s:row>
    <s:row x14ac:dyDescent="0.25" r="14" spans="1:6" ht="14.7" customHeight="1">
      <s:c r="A14" s="4" t="s">
        <s:v>15</s:v>
      </s:c>
      <s:c r="B14" s="5">
        <s:f>SUM(B2:B10)</s:f>
        <s:v>999328.61</s:v>
      </s:c>
      <s:c r="D14" s="2">
        <s:v>0</s:v>
      </s:c>
      <s:c r="F14" s="6">
        <s:f>SUM(F2:F13)</s:f>
        <s:v>1155574.29</s:v>
      </s:c>
    </s:row>
    <s:row x14ac:dyDescent="0.25" r="15" spans="1:6" ht="14.7" customHeight="1"/>
    <s:row x14ac:dyDescent="0.25" r="16" spans="1:6" ht="14.1" customHeight="1">
      <s:c r="A16" s="16" t="s">
        <s:v>16</s:v>
      </s:c>
      <s:c r="B16" s="16"/>
      <s:c r="C16" s="17" t="s">
        <s:v>17</s:v>
      </s:c>
      <s:c r="D16" s="17"/>
    </s:row>
    <s:row x14ac:dyDescent="0.25" r="17" spans="1:7" ht="14.7" customHeight="1">
      <s:c r="A17" s="18">
        <s:f>150000-B7</s:f>
        <s:v>85287.03</s:v>
      </s:c>
      <s:c r="B17" s="18"/>
      <s:c r="C17" s="19">
        <s:f>A17/(31-C7)</s:f>
        <s:v>4061.28714285714</s:v>
      </s:c>
      <s:c r="D17" s="19"/>
    </s:row>
    <s:row x14ac:dyDescent="0.25" r="21" spans="1:7">
      <s:c r="A21" t="s">
        <s:v>18</s:v>
      </s:c>
      <s:c r="D21" t="s">
        <s:v>19</s:v>
      </s:c>
    </s:row>
    <s:row x14ac:dyDescent="0.25" r="22" spans="1:7">
      <s:c r="A22" t="s">
        <s:v>5</s:v>
      </s:c>
      <s:c r="B22" s="2">
        <s:f validation_="true">F2-B2</s:f>
        <s:v>-243572.6</s:v>
      </s:c>
      <s:c r="D22" s="14">
        <s:f>SUM(D2:D11)/5</s:f>
        <s:v>7492.13805883256</s:v>
      </s:c>
    </s:row>
    <s:row x14ac:dyDescent="0.25" r="23" spans="1:7">
      <s:c r="A23" t="s">
        <s:v>6</s:v>
      </s:c>
      <s:c r="B23" s="2">
        <s:f validation_="true">F3-B3</s:f>
        <s:v>29798.97</s:v>
      </s:c>
    </s:row>
    <s:row x14ac:dyDescent="0.25" r="24" spans="1:7">
      <s:c r="A24" t="s">
        <s:v>7</s:v>
      </s:c>
      <s:c r="B24" s="2">
        <s:f validation_="true">F4-B4</s:f>
        <s:v>76283.110000000015</s:v>
      </s:c>
    </s:row>
    <s:row x14ac:dyDescent="0.25" r="25" spans="1:7">
      <s:c r="A25" t="s">
        <s:v>8</s:v>
      </s:c>
      <s:c r="B25" s="2">
        <s:f validation_="true">F5-B5</s:f>
        <s:v>225836.35</s:v>
      </s:c>
    </s:row>
    <s:row x14ac:dyDescent="0.25" r="26" spans="1:7">
      <s:c r="A26" t="s">
        <s:v>9</s:v>
      </s:c>
      <s:c r="B26" s="2">
        <s:f validation_="true">F6-B6</s:f>
        <s:v>-15958.809999999899</s:v>
      </s:c>
    </s:row>
    <s:row x14ac:dyDescent="0.25" r="27" spans="1:7">
      <s:c r="A27" s="7" t="s">
        <s:v>10</s:v>
      </s:c>
      <s:c r="B27" s="2">
        <s:f validation_="true">F7-B7</s:f>
        <s:v>83858.66</s:v>
      </s:c>
    </s:row>
    <s:row x14ac:dyDescent="0.25" r="28" spans="1:7">
      <s:c r="A28" t="s">
        <s:v>11</s:v>
      </s:c>
      <s:c r="B28" s="2">
        <s:f validation_="true">F8-B8</s:f>
        <s:v>0</s:v>
      </s:c>
    </s:row>
    <s:row x14ac:dyDescent="0.25" r="29" spans="1:7">
      <s:c r="A29" t="s">
        <s:v>12</s:v>
      </s:c>
      <s:c r="B29" s="2">
        <s:f validation_="true">F9-B9</s:f>
        <s:v>0</s:v>
      </s:c>
    </s:row>
    <s:row x14ac:dyDescent="0.25" r="30" spans="1:7">
      <s:c r="A30" t="s">
        <s:v>13</s:v>
      </s:c>
      <s:c r="B30" s="2">
        <s:f validation_="true">F10-B10</s:f>
        <s:v>0</s:v>
      </s:c>
    </s:row>
    <s:row x14ac:dyDescent="0.25" r="31" spans="1:7">
      <s:c r="A31" t="s">
        <s:v>14</s:v>
      </s:c>
      <s:c r="B31" s="2">
        <s:f validation_="true">F11-B11</s:f>
        <s:v>0</s:v>
      </s:c>
      <s:c r="G31" s="13"/>
    </s:row>
    <s:row x14ac:dyDescent="0.25" r="35" spans="1:2">
      <s:c r="A35" t="s">
        <s:v>20</s:v>
      </s:c>
      <s:c r="B35" s="15">
        <s:f>SUM(B22:B34)</s:f>
        <s:v>156245.68</s:v>
      </s:c>
    </s:row>
  </s:sheetData>
  <s:mergeCells count="4">
    <s:mergeCell ref="A16:B16"/>
    <s:mergeCell ref="C16:D16"/>
    <s:mergeCell ref="A17:B17"/>
    <s:mergeCell ref="C17:D17"/>
  </s:mergeCells>
  <s:pageMargins left="0.7" right="0.7" top="0.75" bottom="0.75" header="0.3" footer="0.3"/>
  <s:pageSetup paperSize="9" fitToWidth="0" fitToHeight="0" orientation="portrait"/>
  <s:drawing r:id="rId1"/>
</s:worksheet>
</file>

<file path=xl/worksheets/sheet2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100-000000000000}">
  <s:dimension ref="A1:B25"/>
  <s:sheetViews>
    <s:sheetView tabSelected="0" workbookViewId="0">
      <s:selection activeCell="B17" sqref="B17"/>
    </s:sheetView>
  </s:sheetViews>
  <s:sheetFormatPr x14ac:dyDescent="0.25" defaultColWidth="10" defaultRowHeight="13.8"/>
  <s:cols>
    <s:col min="1" max="1" width="14.699" customWidth="1"/>
    <s:col min="2" max="2" width="21.199" style="8" customWidth="1"/>
    <s:col min="3" max="3" width="17.398" customWidth="1"/>
  </s:cols>
  <s:sheetData>
    <s:row x14ac:dyDescent="0.25" r="1" spans="1:2">
      <s:c r="A1" s="20" t="s">
        <s:v>21</s:v>
      </s:c>
      <s:c r="B1" s="9"/>
    </s:row>
    <s:row x14ac:dyDescent="0.25" r="2" spans="1:2">
      <s:c r="A2" s="21"/>
      <s:c r="B2" s="10"/>
    </s:row>
    <s:row x14ac:dyDescent="0.25" r="3" spans="1:2">
      <s:c r="A3" s="21"/>
      <s:c r="B3" s="11"/>
    </s:row>
    <s:row x14ac:dyDescent="0.25" r="4" spans="1:2">
      <s:c r="A4" t="s">
        <s:v>22</s:v>
      </s:c>
      <s:c r="B4" s="7"/>
    </s:row>
    <s:row x14ac:dyDescent="0.25" r="5" spans="1:2">
      <s:c r="A5" s="7" t="s">
        <s:v>23</s:v>
      </s:c>
      <s:c r="B5" s="7"/>
    </s:row>
    <s:row x14ac:dyDescent="0.25" r="6" spans="1:2">
      <s:c r="A6" s="7" t="s">
        <s:v>24</s:v>
      </s:c>
      <s:c r="B6" s="7"/>
    </s:row>
    <s:row x14ac:dyDescent="0.25" r="7" spans="1:2">
      <s:c r="A7" s="7" t="s">
        <s:v>25</s:v>
      </s:c>
      <s:c r="B7" s="7"/>
    </s:row>
    <s:row x14ac:dyDescent="0.25" r="8" spans="1:2">
      <s:c r="A8" s="7" t="s">
        <s:v>26</s:v>
      </s:c>
      <s:c r="B8" s="7"/>
    </s:row>
    <s:row x14ac:dyDescent="0.25" r="9" spans="1:2">
      <s:c r="B9" s="7"/>
    </s:row>
    <s:row x14ac:dyDescent="0.25" r="10" spans="1:2">
      <s:c r="B10" s="7"/>
    </s:row>
    <s:row x14ac:dyDescent="0.25" r="11" spans="1:2">
      <s:c r="B11" s="7"/>
    </s:row>
    <s:row x14ac:dyDescent="0.25" r="12" spans="1:2">
      <s:c r="B12" s="7"/>
    </s:row>
    <s:row x14ac:dyDescent="0.25" r="13" spans="1:2">
      <s:c r="B13" s="7"/>
    </s:row>
    <s:row x14ac:dyDescent="0.25" r="14" spans="1:2">
      <s:c r="B14" s="7"/>
    </s:row>
    <s:row x14ac:dyDescent="0.25" r="15" spans="1:2">
      <s:c r="B15" s="7"/>
    </s:row>
    <s:row x14ac:dyDescent="0.25" r="16" spans="1:2">
      <s:c r="B16" s="7"/>
    </s:row>
    <s:row x14ac:dyDescent="0.25" r="17" spans="2:2">
      <s:c r="B17" s="7"/>
    </s:row>
    <s:row x14ac:dyDescent="0.25" r="18" spans="2:2">
      <s:c r="B18" s="7"/>
    </s:row>
    <s:row x14ac:dyDescent="0.25" r="19" spans="2:2">
      <s:c r="B19" s="7"/>
    </s:row>
    <s:row x14ac:dyDescent="0.25" r="20" spans="2:2">
      <s:c r="B20" s="7"/>
    </s:row>
    <s:row x14ac:dyDescent="0.25" r="21" spans="2:2">
      <s:c r="B21" s="7"/>
    </s:row>
    <s:row x14ac:dyDescent="0.25" r="22" spans="2:2">
      <s:c r="B22" s="7"/>
    </s:row>
    <s:row x14ac:dyDescent="0.25" r="23" spans="2:2">
      <s:c r="B23" s="7"/>
    </s:row>
    <s:row x14ac:dyDescent="0.25" r="24" spans="2:2">
      <s:c r="B24" s="7"/>
    </s:row>
    <s:row x14ac:dyDescent="0.25" r="25" spans="2:2">
      <s:c r="B25" s="7"/>
    </s:row>
  </s:sheetData>
  <s:mergeCells count="1">
    <s:mergeCell ref="A1:A3"/>
  </s:mergeCells>
  <s:pageMargins left="0.7" right="0.7" top="0.75" bottom="0.75" header="0.3" footer="0.3"/>
  <s:pageSetup paperSize="9" orientation="portrait"/>
</s:worksheet>
</file>

<file path=customXml/_rels/item1.xml.rels><?xml version="1.0" 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unk7:FormTemplates xmlns:unk7="http://schemas.microsoft.com/sharepoint/v3/contenttype/forms">
  <unk7:Display>DocumentLibraryForm</unk7:Display>
  <unk7:Edit>DocumentLibraryForm</unk7:Edit>
  <unk7:New>DocumentLibraryForm</unk7:New>
</unk7:FormTemplates>
</file>

<file path=customXml/item2.xml><?xml version="1.0" encoding="utf-8"?>
<unk8:contentTypeSchema xmlns:unk9="http://schemas.microsoft.com/office/2006/metadata/properties/metaAttributes" xmlns:unk8="http://schemas.microsoft.com/office/2006/metadata/contentType" xmlns:xs="http://www.w3.org/2001/XMLSchema" unk8:_="" unk9:_="" unk9:contentTypeName="Document" unk9:contentTypeID="0x01010043B48139C7902A49B281B0E375BF9464" unk9:contentTypeVersion="0" unk9:contentTypeDescription="Create a new document." unk9:contentTypeScope="" unk9:versionID="d760bade3b16f303edd23f8a4b82b447">
  <xs:schema targetNamespace="http://schemas.microsoft.com/office/2006/metadata/properties" unk9:root="true" unk9:fieldsID="1513779c41987e021379eb67c5060ef8">
    <xs:element name="properties">
      <xs:complexType>
        <xs:sequence>
          <xs:element name="documentManagement">
            <xs:complexType>
              <xs:all/>
            </xs:complexType>
          </xs:element>
        </xs:sequence>
      </xs:complexType>
    </xs:element>
  </xs:schema>
  <xs:schema targetNamespace="http://schemas.openxmlformats.org/package/2006/metadata/core-properties" elementFormDefault="qualified" attributeFormDefault="unqualified" blockDefault="#all">
    <xs:import namespace="http://purl.org/dc/elements/1.1/" schemaLocation="http://dublincore.org/schemas/xmls/qdc/2003/04/02/dc.xsd"/>
    <xs:import namespace="http://purl.org/dc/terms/" schemaLocation="http://dublincore.org/schemas/xmls/qdc/2003/04/02/dcterms.xsd"/>
    <xs:element name="coreProperties" type="CT_coreProperties"/>
    <xs:complexType name="CT_coreProperties">
      <xs:all>
        <xs:element ref="dc:creator" minOccurs="0" maxOccurs="1"/>
        <xs:element ref="dcterms:created" minOccurs="0" maxOccurs="1"/>
        <xs:element ref="dc:identifier" minOccurs="0" maxOccurs="1"/>
        <xs:element name="contentType" minOccurs="0" maxOccurs="1" type="xsd:string" unk9:index="0" unk9:displayName="Content Type"/>
        <xs:element ref="dc:title" minOccurs="0" maxOccurs="1" unk9:index="4" unk9:displayName="Title"/>
        <xs:element ref="dc:subject" minOccurs="0" maxOccurs="1"/>
        <xs:element ref="dc:description" minOccurs="0" maxOccurs="1"/>
        <xs:element name="keywords" minOccurs="0" maxOccurs="1" type="xsd:string"/>
        <xs:element ref="dc:language" minOccurs="0" maxOccurs="1"/>
        <xs:element name="category" minOccurs="0" maxOccurs="1" type="xsd:string"/>
        <xs:element name="version" minOccurs="0" maxOccurs="1" type="xsd:string"/>
        <xs:element name="revision" minOccurs="0" maxOccurs="1" type="xsd:string">
          <xs:annotation>
            <xs:documentation>
                        This value indicates the number of saves or revisions. The application is responsible for updating this value after each revision.
                    </xs:documentation>
          </xs:annotation>
        </xs:element>
        <xs:element name="lastModifiedBy" minOccurs="0" maxOccurs="1" type="xsd:string"/>
        <xs:element ref="dcterms:modified" minOccurs="0" maxOccurs="1"/>
        <xs:element name="contentStatus" minOccurs="0" maxOccurs="1" type="xsd:string"/>
      </xs:all>
    </xs:complexType>
  </xs:schema>
  <xs:schema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unk8:contentTypeSchema>
</file>

<file path=customXml/item3.xml><?xml version="1.0" encoding="utf-8"?>
<unk10:properties xmlns:unk10="http://schemas.microsoft.com/office/2006/metadata/properties">
  <documentManagement/>
</unk10:properties>
</file>

<file path=customXml/itemProps1.xml><?xml version="1.0" encoding="utf-8"?>
<customXml:datastoreItem xmlns:customXml="http://schemas.openxmlformats.org/officeDocument/2006/customXml" customXml:itemID="{7BDBEAD9-ACE3-4C5F-9744-B930A3441C93}">
  <customXml:schemaRefs>
    <customXml:schemaRef customXml:uri="http://schemas.microsoft.com/sharepoint/v3/contenttype/forms"/>
  </customXml:schemaRefs>
</customXml:datastoreItem>
</file>

<file path=customXml/itemProps2.xml><?xml version="1.0" encoding="utf-8"?>
<customXml:datastoreItem xmlns:customXml="http://schemas.openxmlformats.org/officeDocument/2006/customXml" customXml:itemID="{6EBF706F-C708-4EF3-8FB0-64EE843F789A}">
  <customXml:schemaRefs>
    <customXml:schemaRef customXml:uri="http://schemas.microsoft.com/office/2006/metadata/contentType"/>
    <customXml:schemaRef customXml:uri="http://schemas.microsoft.com/office/2006/metadata/properties/metaAttributes"/>
    <customXml:schemaRef customXml:uri="http://www.w3.org/2001/XMLSchema"/>
    <customXml:schemaRef customXml:uri="http://schemas.microsoft.com/office/2006/metadata/properties"/>
    <customXml:schemaRef customXml:uri="http://schemas.openxmlformats.org/package/2006/metadata/core-properties"/>
    <customXml:schemaRef customXml:uri="http://purl.org/dc/elements/1.1/"/>
    <customXml:schemaRef customXml:uri="http://purl.org/dc/terms/"/>
    <customXml:schemaRef customXml:uri="http://schemas.microsoft.com/internal/obd"/>
    <customXml:schemaRef customXml:uri="http://schemas.microsoft.com/office/infopath/2007/PartnerControls"/>
  </customXml:schemaRefs>
</customXml:datastoreItem>
</file>

<file path=customXml/itemProps3.xml><?xml version="1.0" encoding="utf-8"?>
<customXml:datastoreItem xmlns:customXml="http://schemas.openxmlformats.org/officeDocument/2006/customXml" customXml:itemID="{0F35E7F9-D6A3-48EC-A85D-BECD018D14C9}">
  <customXml:schemaRefs>
    <customXml:schemaRef customXml:uri="http://www.w3.org/XML/1998/namespace"/>
    <customXml:schemaRef customXml:uri="http://purl.org/dc/dcmitype/"/>
    <customXml:schemaRef customXml:uri="http://schemas.microsoft.com/office/2006/documentManagement/types"/>
    <customXml:schemaRef customXml:uri="http://purl.org/dc/elements/1.1/"/>
    <customXml:schemaRef customXml:uri="http://schemas.openxmlformats.org/package/2006/metadata/core-properties"/>
    <customXml:schemaRef customXml:uri="http://schemas.microsoft.com/office/2006/metadata/properties"/>
    <customXml:schemaRef customXml:uri="http://purl.org/dc/terms/"/>
    <customXml:schemaRef customXml:uri="http://schemas.microsoft.com/office/infopath/2007/PartnerControls"/>
  </customXml:schemaRefs>
</customXml:datastoreItem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2</vt:i4>
      </vt:variant>
    </vt:vector>
  </ep:HeadingPairs>
  <ep:TitlesOfParts>
    <vt:vector size="2" baseType="lpstr">
      <vt:lpstr>среднее</vt:lpstr>
      <vt:lpstr>Номера</vt:lpstr>
    </vt:vector>
  </ep:TitlesOfParts>
  <ep:Manager/>
  <ep:Company/>
  <ep:LinksUpToDate>false</ep:LinksUpToDate>
  <ep:SharedDoc>false</ep:SharedDoc>
  <ep:HyperlinkBase/>
  <ep:HyperlinksChanged>false</ep:HyperlinksChanged>
  <ep:AppVersion>16.0300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title/>
  <dc:subject/>
  <dc:creator>Николай Быков</dc:creator>
  <cp:keywords/>
  <dc:description/>
  <cp:lastModifiedBy>Николай Быков</cp:lastModifiedBy>
  <cp:revision>37</cp:revision>
  <dcterms:created xsi:type="dcterms:W3CDTF">2021-04-30T09:46:45Z</dcterms:created>
  <dcterms:modified xsi:type="dcterms:W3CDTF">2026-06-04T04:54:53Z</dcterms:modified>
  <cp:category/>
  <cp:contentStatus/>
</cp:coreProperties>
</file>

<file path=docProps/custom.xml><?xml version="1.0" encoding="utf-8"?>
<customProperties:Properties xmlns:customProperties="http://schemas.openxmlformats.org/officeDocument/2006/custom-properties" xmlns:vt="http://schemas.openxmlformats.org/officeDocument/2006/docPropsVTypes">
  <customProperties:property fmtid="{D5CDD505-2E9C-101B-9397-08002B2CF9AE}" pid="2" name="ContentTypeId">
    <vt:lpwstr>0x01010043B48139C7902A49B281B0E375BF9464</vt:lpwstr>
  </customProperties:property>
</customProperties:Properties>
</file>